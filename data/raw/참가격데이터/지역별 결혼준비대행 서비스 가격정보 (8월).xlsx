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결혼 서비스 가격정보 제공\지역별 가격조사\결혼서비스 8월\참가격\3. 지역별 결혼준비대행 서비스 가격정보\"/>
    </mc:Choice>
  </mc:AlternateContent>
  <bookViews>
    <workbookView xWindow="-28920" yWindow="-120" windowWidth="29040" windowHeight="10095"/>
  </bookViews>
  <sheets>
    <sheet name="스드메" sheetId="1" r:id="rId1"/>
    <sheet name="스튜디오" sheetId="2" r:id="rId2"/>
    <sheet name="드레스" sheetId="3" r:id="rId3"/>
    <sheet name="메이크업" sheetId="4" r:id="rId4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4" l="1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<sst xmlns="http://schemas.openxmlformats.org/spreadsheetml/2006/main" count="141" uniqueCount="43">
  <si>
    <t>[ 지역별 스드메 계약금액 분포 및 평균 ]</t>
  </si>
  <si>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</si>
  <si>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</si>
  <si>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</si>
  <si>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</si>
  <si>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</si>
  <si>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</si>
  <si>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</si>
  <si>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</si>
  <si>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</si>
  <si>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전국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</si>
  <si>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</si>
  <si>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</si>
  <si>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</si>
  <si>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</si>
  <si>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</si>
  <si>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</si>
  <si>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</si>
  <si>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</si>
  <si>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</si>
  <si>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</si>
  <si>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</si>
  <si>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</si>
  <si>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</si>
  <si>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</si>
  <si>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</si>
  <si>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건수</t>
    <phoneticPr fontId="4" type="noConversion"/>
  </si>
  <si>
    <t>비율</t>
    <phoneticPr fontId="4" type="noConversion"/>
  </si>
  <si>
    <t>[ 지역별 스튜디오 기본가격 분포 및 평균 ]</t>
  </si>
  <si>
    <t>제주도</t>
  </si>
  <si>
    <t>[ 지역별 드레스 기본가격 분포 및 평균 ]</t>
  </si>
  <si>
    <t>[ 지역별 메이크업 기본가격 분포 및 평균 ]</t>
  </si>
  <si>
    <t>구분</t>
    <phoneticPr fontId="4" type="noConversion"/>
  </si>
  <si>
    <t>-</t>
    <phoneticPr fontId="4" type="noConversion"/>
  </si>
  <si>
    <t>* 이번 조사에서 제주도는 스드메 계약 건이 없었음.</t>
    <phoneticPr fontId="4" type="noConversion"/>
  </si>
  <si>
    <t>(단위 : 만 원, 건, %)</t>
    <phoneticPr fontId="4" type="noConversion"/>
  </si>
  <si>
    <t xml:space="preserve"> * 20페이지 앨범, 20R 기본액자 기준임.</t>
    <phoneticPr fontId="4" type="noConversion"/>
  </si>
  <si>
    <t xml:space="preserve">** 표본수가 부족한 경우 일부 분포는 산출이 불가하여 공란(-)으로 처리함. </t>
    <phoneticPr fontId="4" type="noConversion"/>
  </si>
  <si>
    <t xml:space="preserve"> * 본식(1벌)+촬영(3벌) 기준임.</t>
    <phoneticPr fontId="4" type="noConversion"/>
  </si>
  <si>
    <t>표본수</t>
    <phoneticPr fontId="4" type="noConversion"/>
  </si>
  <si>
    <t>** 표본수가 부족한 경우 일부 분포는 산출이 불가하여 공란(-)으로 처리함.</t>
    <phoneticPr fontId="4" type="noConversion"/>
  </si>
  <si>
    <t xml:space="preserve"> * 본식+촬영(원장급) 기준임.</t>
    <phoneticPr fontId="4" type="noConversion"/>
  </si>
  <si>
    <t xml:space="preserve">** 표본수가 부족한 경우 일부 분포는 산출이 불가하여 공란(-)으로 처리함.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</si>
</sst>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한양중고딕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justify" vertical="center"/>
    </xf>
    <xf numFmtId="0" fontId="2" fillId="3" borderId="4" xfId="0" applyFont="1" applyFill="1" applyBorder="1" applyAlignment="1">
      <alignment horizontal="right" vertical="center" wrapText="1"/>
    </xf>
    <xf numFmtId="3" fontId="2" fillId="3" borderId="4" xfId="0" applyNumberFormat="1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7" fillId="0" borderId="0" xfId="0" applyFont="1">
      <alignment vertical="center"/>
    </xf>
    <xf numFmtId="0" fontId="3" fillId="2" borderId="20" xfId="0" applyFont="1" applyFill="1" applyBorder="1" applyAlignment="1">
      <alignment horizontal="center" vertical="center" wrapText="1"/>
    </xf>
    <xf numFmtId="176" fontId="2" fillId="3" borderId="22" xfId="0" applyNumberFormat="1" applyFont="1" applyFill="1" applyBorder="1" applyAlignment="1">
      <alignment horizontal="right" vertical="center" wrapText="1"/>
    </xf>
    <xf numFmtId="0" fontId="1" fillId="3" borderId="23" xfId="0" applyFont="1" applyFill="1" applyBorder="1" applyAlignment="1">
      <alignment horizontal="center" vertical="center" wrapText="1"/>
    </xf>
    <xf numFmtId="176" fontId="2" fillId="3" borderId="24" xfId="0" applyNumberFormat="1" applyFont="1" applyFill="1" applyBorder="1" applyAlignment="1">
      <alignment horizontal="right" vertical="center" wrapText="1"/>
    </xf>
    <xf numFmtId="0" fontId="1" fillId="3" borderId="25" xfId="0" applyFont="1" applyFill="1" applyBorder="1" applyAlignment="1">
      <alignment horizontal="center" vertical="center" wrapText="1"/>
    </xf>
    <xf numFmtId="176" fontId="2" fillId="3" borderId="20" xfId="0" applyNumberFormat="1" applyFont="1" applyFill="1" applyBorder="1" applyAlignment="1">
      <alignment horizontal="right" vertical="center" wrapText="1"/>
    </xf>
    <xf numFmtId="176" fontId="2" fillId="0" borderId="20" xfId="0" applyNumberFormat="1" applyFont="1" applyBorder="1" applyAlignment="1">
      <alignment horizontal="right" vertical="center" wrapText="1"/>
    </xf>
    <xf numFmtId="0" fontId="2" fillId="0" borderId="29" xfId="0" applyFont="1" applyBorder="1" applyAlignment="1">
      <alignment horizontal="right" vertical="center" wrapText="1"/>
    </xf>
    <xf numFmtId="0" fontId="2" fillId="0" borderId="28" xfId="0" applyFont="1" applyBorder="1" applyAlignment="1">
      <alignment horizontal="right" vertical="center" wrapText="1"/>
    </xf>
    <xf numFmtId="176" fontId="2" fillId="0" borderId="30" xfId="0" applyNumberFormat="1" applyFont="1" applyBorder="1" applyAlignment="1">
      <alignment horizontal="right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176" fontId="2" fillId="3" borderId="32" xfId="0" applyNumberFormat="1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2" fillId="4" borderId="31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15" zoomScaleNormal="115" workbookViewId="0">
      <selection activeCell="K14" sqref="K14"/>
    </sheetView>
  </sheetViews>
  <sheetFormatPr defaultRowHeight="16.5"/>
  <cols>
    <col min="1" max="2" width="10.5" customWidth="1"/>
    <col min="3" max="10" width="12.625" customWidth="1"/>
  </cols>
  <sheetData>
    <row r="1" spans="1:10" ht="26.25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6.25" customHeight="1" thickBot="1">
      <c r="A2" s="40" t="s">
        <v>35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20.25" customHeight="1">
      <c r="A3" s="41" t="s">
        <v>1</v>
      </c>
      <c r="B3" s="42"/>
      <c r="C3" s="45" t="s">
        <v>2</v>
      </c>
      <c r="D3" s="46"/>
      <c r="E3" s="46"/>
      <c r="F3" s="46"/>
      <c r="G3" s="47"/>
      <c r="H3" s="42" t="s">
        <v>3</v>
      </c>
      <c r="I3" s="50" t="s">
        <v>4</v>
      </c>
      <c r="J3" s="51"/>
    </row>
    <row r="4" spans="1:10" ht="20.25" customHeight="1">
      <c r="A4" s="43"/>
      <c r="B4" s="44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4"/>
      <c r="I4" s="1" t="s">
        <v>26</v>
      </c>
      <c r="J4" s="16" t="s">
        <v>27</v>
      </c>
    </row>
    <row r="5" spans="1:10" ht="20.25" customHeight="1">
      <c r="A5" s="48" t="s">
        <v>10</v>
      </c>
      <c r="B5" s="49"/>
      <c r="C5" s="9">
        <v>204</v>
      </c>
      <c r="D5" s="9">
        <v>242</v>
      </c>
      <c r="E5" s="9">
        <v>293</v>
      </c>
      <c r="F5" s="9">
        <v>350</v>
      </c>
      <c r="G5" s="9">
        <v>430</v>
      </c>
      <c r="H5" s="11">
        <v>320</v>
      </c>
      <c r="I5" s="10">
        <v>1902</v>
      </c>
      <c r="J5" s="17">
        <v>100</v>
      </c>
    </row>
    <row r="6" spans="1:10" ht="20.25" customHeight="1">
      <c r="A6" s="18"/>
      <c r="B6" s="2" t="s">
        <v>11</v>
      </c>
      <c r="C6" s="4">
        <v>203</v>
      </c>
      <c r="D6" s="4">
        <v>245</v>
      </c>
      <c r="E6" s="4">
        <v>298</v>
      </c>
      <c r="F6" s="4">
        <v>391</v>
      </c>
      <c r="G6" s="4">
        <v>630</v>
      </c>
      <c r="H6" s="12">
        <v>362</v>
      </c>
      <c r="I6" s="4">
        <v>692</v>
      </c>
      <c r="J6" s="19">
        <f>I6/$I$5*100</f>
        <v>36.382754994742378</v>
      </c>
    </row>
    <row r="7" spans="1:10" ht="20.25" customHeight="1">
      <c r="A7" s="20"/>
      <c r="B7" s="3" t="s">
        <v>12</v>
      </c>
      <c r="C7" s="7">
        <v>204</v>
      </c>
      <c r="D7" s="7">
        <v>240</v>
      </c>
      <c r="E7" s="7">
        <v>290</v>
      </c>
      <c r="F7" s="7">
        <v>340</v>
      </c>
      <c r="G7" s="7">
        <v>390</v>
      </c>
      <c r="H7" s="13">
        <v>296</v>
      </c>
      <c r="I7" s="5">
        <v>1210</v>
      </c>
      <c r="J7" s="21">
        <f t="shared" ref="J7:J20" si="0">I7/$I$5*100</f>
        <v>63.617245005257629</v>
      </c>
    </row>
    <row r="8" spans="1:10" ht="20.25" customHeight="1">
      <c r="A8" s="35" t="s">
        <v>13</v>
      </c>
      <c r="B8" s="36"/>
      <c r="C8" s="6">
        <v>220</v>
      </c>
      <c r="D8" s="6">
        <v>255</v>
      </c>
      <c r="E8" s="6">
        <v>313</v>
      </c>
      <c r="F8" s="6">
        <v>428</v>
      </c>
      <c r="G8" s="6">
        <v>648</v>
      </c>
      <c r="H8" s="14">
        <v>388</v>
      </c>
      <c r="I8" s="6">
        <v>553</v>
      </c>
      <c r="J8" s="22">
        <f t="shared" si="0"/>
        <v>29.074658254468982</v>
      </c>
    </row>
    <row r="9" spans="1:10" ht="20.25" customHeight="1">
      <c r="A9" s="35" t="s">
        <v>14</v>
      </c>
      <c r="B9" s="36"/>
      <c r="C9" s="6">
        <v>204</v>
      </c>
      <c r="D9" s="6">
        <v>235</v>
      </c>
      <c r="E9" s="6">
        <v>259</v>
      </c>
      <c r="F9" s="6">
        <v>346</v>
      </c>
      <c r="G9" s="6">
        <v>598</v>
      </c>
      <c r="H9" s="14">
        <v>314</v>
      </c>
      <c r="I9" s="6">
        <v>16</v>
      </c>
      <c r="J9" s="22">
        <f t="shared" si="0"/>
        <v>0.84121976866456361</v>
      </c>
    </row>
    <row r="10" spans="1:10" ht="20.25" customHeight="1">
      <c r="A10" s="35" t="s">
        <v>15</v>
      </c>
      <c r="B10" s="36"/>
      <c r="C10" s="6">
        <v>207</v>
      </c>
      <c r="D10" s="6">
        <v>280</v>
      </c>
      <c r="E10" s="6">
        <v>320</v>
      </c>
      <c r="F10" s="6">
        <v>377</v>
      </c>
      <c r="G10" s="6">
        <v>512</v>
      </c>
      <c r="H10" s="14">
        <v>342</v>
      </c>
      <c r="I10" s="6">
        <v>171</v>
      </c>
      <c r="J10" s="22">
        <f t="shared" si="0"/>
        <v>8.9905362776025228</v>
      </c>
    </row>
    <row r="11" spans="1:10" ht="20.25" customHeight="1">
      <c r="A11" s="35" t="s">
        <v>16</v>
      </c>
      <c r="B11" s="36"/>
      <c r="C11" s="6">
        <v>148</v>
      </c>
      <c r="D11" s="6">
        <v>161</v>
      </c>
      <c r="E11" s="6">
        <v>232</v>
      </c>
      <c r="F11" s="6">
        <v>275</v>
      </c>
      <c r="G11" s="6">
        <v>370</v>
      </c>
      <c r="H11" s="14">
        <v>240</v>
      </c>
      <c r="I11" s="6">
        <v>78</v>
      </c>
      <c r="J11" s="22">
        <f t="shared" si="0"/>
        <v>4.1009463722397479</v>
      </c>
    </row>
    <row r="12" spans="1:10" ht="20.25" customHeight="1">
      <c r="A12" s="35" t="s">
        <v>17</v>
      </c>
      <c r="B12" s="36"/>
      <c r="C12" s="6">
        <v>198</v>
      </c>
      <c r="D12" s="6">
        <v>220</v>
      </c>
      <c r="E12" s="6">
        <v>261</v>
      </c>
      <c r="F12" s="6">
        <v>292</v>
      </c>
      <c r="G12" s="6">
        <v>320</v>
      </c>
      <c r="H12" s="14">
        <v>260</v>
      </c>
      <c r="I12" s="6">
        <v>269</v>
      </c>
      <c r="J12" s="22">
        <f t="shared" si="0"/>
        <v>14.143007360672977</v>
      </c>
    </row>
    <row r="13" spans="1:10" ht="20.25" customHeight="1">
      <c r="A13" s="35" t="s">
        <v>18</v>
      </c>
      <c r="B13" s="36"/>
      <c r="C13" s="6">
        <v>211</v>
      </c>
      <c r="D13" s="6">
        <v>274</v>
      </c>
      <c r="E13" s="6">
        <v>302</v>
      </c>
      <c r="F13" s="6">
        <v>320</v>
      </c>
      <c r="G13" s="6">
        <v>340</v>
      </c>
      <c r="H13" s="14">
        <v>290</v>
      </c>
      <c r="I13" s="6">
        <v>76</v>
      </c>
      <c r="J13" s="22">
        <f t="shared" si="0"/>
        <v>3.9957939011566772</v>
      </c>
    </row>
    <row r="14" spans="1:10" ht="20.25" customHeight="1">
      <c r="A14" s="35" t="s">
        <v>19</v>
      </c>
      <c r="B14" s="36"/>
      <c r="C14" s="6">
        <v>285</v>
      </c>
      <c r="D14" s="6">
        <v>318</v>
      </c>
      <c r="E14" s="6">
        <v>345</v>
      </c>
      <c r="F14" s="6">
        <v>363</v>
      </c>
      <c r="G14" s="6">
        <v>423</v>
      </c>
      <c r="H14" s="14">
        <v>346</v>
      </c>
      <c r="I14" s="6">
        <v>169</v>
      </c>
      <c r="J14" s="22">
        <f t="shared" si="0"/>
        <v>8.885383806519453</v>
      </c>
    </row>
    <row r="15" spans="1:10" ht="20.25" customHeight="1">
      <c r="A15" s="35" t="s">
        <v>20</v>
      </c>
      <c r="B15" s="36"/>
      <c r="C15" s="6">
        <v>207</v>
      </c>
      <c r="D15" s="6">
        <v>217</v>
      </c>
      <c r="E15" s="6">
        <v>231</v>
      </c>
      <c r="F15" s="6">
        <v>263</v>
      </c>
      <c r="G15" s="6">
        <v>323</v>
      </c>
      <c r="H15" s="14">
        <v>245</v>
      </c>
      <c r="I15" s="6">
        <v>54</v>
      </c>
      <c r="J15" s="22">
        <f t="shared" si="0"/>
        <v>2.8391167192429023</v>
      </c>
    </row>
    <row r="16" spans="1:10" ht="20.25" customHeight="1">
      <c r="A16" s="35" t="s">
        <v>21</v>
      </c>
      <c r="B16" s="36"/>
      <c r="C16" s="6">
        <v>196</v>
      </c>
      <c r="D16" s="6">
        <v>222</v>
      </c>
      <c r="E16" s="6">
        <v>260</v>
      </c>
      <c r="F16" s="6">
        <v>289</v>
      </c>
      <c r="G16" s="6">
        <v>340</v>
      </c>
      <c r="H16" s="14">
        <v>260</v>
      </c>
      <c r="I16" s="6">
        <v>45</v>
      </c>
      <c r="J16" s="22">
        <f t="shared" si="0"/>
        <v>2.3659305993690851</v>
      </c>
    </row>
    <row r="17" spans="1:10" ht="20.25" customHeight="1">
      <c r="A17" s="35" t="s">
        <v>22</v>
      </c>
      <c r="B17" s="36"/>
      <c r="C17" s="6">
        <v>193</v>
      </c>
      <c r="D17" s="6">
        <v>212</v>
      </c>
      <c r="E17" s="6">
        <v>260</v>
      </c>
      <c r="F17" s="6">
        <v>310</v>
      </c>
      <c r="G17" s="6">
        <v>324</v>
      </c>
      <c r="H17" s="14">
        <v>260</v>
      </c>
      <c r="I17" s="6">
        <v>165</v>
      </c>
      <c r="J17" s="22">
        <f t="shared" si="0"/>
        <v>8.6750788643533117</v>
      </c>
    </row>
    <row r="18" spans="1:10" ht="20.25" customHeight="1">
      <c r="A18" s="35" t="s">
        <v>23</v>
      </c>
      <c r="B18" s="36"/>
      <c r="C18" s="6">
        <v>246</v>
      </c>
      <c r="D18" s="6">
        <v>280</v>
      </c>
      <c r="E18" s="6">
        <v>318</v>
      </c>
      <c r="F18" s="6">
        <v>389</v>
      </c>
      <c r="G18" s="6">
        <v>411</v>
      </c>
      <c r="H18" s="14">
        <v>329</v>
      </c>
      <c r="I18" s="6">
        <v>210</v>
      </c>
      <c r="J18" s="22">
        <f t="shared" si="0"/>
        <v>11.041009463722396</v>
      </c>
    </row>
    <row r="19" spans="1:10" ht="20.25" customHeight="1">
      <c r="A19" s="35" t="s">
        <v>24</v>
      </c>
      <c r="B19" s="36"/>
      <c r="C19" s="6">
        <v>180</v>
      </c>
      <c r="D19" s="6">
        <v>200</v>
      </c>
      <c r="E19" s="6">
        <v>210</v>
      </c>
      <c r="F19" s="6">
        <v>251</v>
      </c>
      <c r="G19" s="6">
        <v>265</v>
      </c>
      <c r="H19" s="14">
        <v>223</v>
      </c>
      <c r="I19" s="6">
        <v>40</v>
      </c>
      <c r="J19" s="22">
        <f t="shared" si="0"/>
        <v>2.1030494216614093</v>
      </c>
    </row>
    <row r="20" spans="1:10" ht="20.25" customHeight="1" thickBot="1">
      <c r="A20" s="37" t="s">
        <v>25</v>
      </c>
      <c r="B20" s="38"/>
      <c r="C20" s="23">
        <v>220</v>
      </c>
      <c r="D20" s="23">
        <v>230</v>
      </c>
      <c r="E20" s="23">
        <v>250</v>
      </c>
      <c r="F20" s="23">
        <v>280</v>
      </c>
      <c r="G20" s="23">
        <v>342</v>
      </c>
      <c r="H20" s="24">
        <v>260</v>
      </c>
      <c r="I20" s="23">
        <v>56</v>
      </c>
      <c r="J20" s="25">
        <f t="shared" si="0"/>
        <v>2.9442691903259726</v>
      </c>
    </row>
    <row r="21" spans="1:10" s="15" customFormat="1" ht="24" customHeight="1">
      <c r="A21" s="34" t="s">
        <v>34</v>
      </c>
      <c r="B21" s="34"/>
      <c r="C21" s="34"/>
      <c r="D21" s="34"/>
      <c r="E21" s="34"/>
      <c r="F21" s="34"/>
      <c r="G21" s="34"/>
      <c r="H21" s="34"/>
      <c r="I21" s="34"/>
      <c r="J21" s="34"/>
    </row>
  </sheetData>
  <mergeCells count="21">
    <mergeCell ref="A5:B5"/>
    <mergeCell ref="A8:B8"/>
    <mergeCell ref="I3:J3"/>
    <mergeCell ref="A15:B15"/>
    <mergeCell ref="A16:B16"/>
    <mergeCell ref="A1:J1"/>
    <mergeCell ref="A2:J2"/>
    <mergeCell ref="A3:B4"/>
    <mergeCell ref="C3:G3"/>
    <mergeCell ref="H3:H4"/>
    <mergeCell ref="A21:J21"/>
    <mergeCell ref="A9:B9"/>
    <mergeCell ref="A11:B11"/>
    <mergeCell ref="A12:B12"/>
    <mergeCell ref="A13:B13"/>
    <mergeCell ref="A20:B20"/>
    <mergeCell ref="A10:B10"/>
    <mergeCell ref="A14:B14"/>
    <mergeCell ref="A17:B17"/>
    <mergeCell ref="A18:B18"/>
    <mergeCell ref="A19:B1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="115" zoomScaleNormal="115" workbookViewId="0">
      <selection activeCell="O8" sqref="O8"/>
    </sheetView>
  </sheetViews>
  <sheetFormatPr defaultRowHeight="16.5"/>
  <cols>
    <col min="3" max="10" width="11.25" customWidth="1"/>
  </cols>
  <sheetData>
    <row r="1" spans="1:10" ht="31.5" customHeight="1">
      <c r="A1" s="39" t="s">
        <v>28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3.25" customHeight="1" thickBot="1">
      <c r="A2" s="40" t="s">
        <v>35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22.5" customHeight="1">
      <c r="A3" s="41" t="s">
        <v>1</v>
      </c>
      <c r="B3" s="42"/>
      <c r="C3" s="45" t="s">
        <v>2</v>
      </c>
      <c r="D3" s="46"/>
      <c r="E3" s="46"/>
      <c r="F3" s="46"/>
      <c r="G3" s="47"/>
      <c r="H3" s="42" t="s">
        <v>3</v>
      </c>
      <c r="I3" s="50" t="s">
        <v>4</v>
      </c>
      <c r="J3" s="51"/>
    </row>
    <row r="4" spans="1:10" ht="23.25" customHeight="1">
      <c r="A4" s="43"/>
      <c r="B4" s="44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4"/>
      <c r="I4" s="1" t="s">
        <v>26</v>
      </c>
      <c r="J4" s="16" t="s">
        <v>27</v>
      </c>
    </row>
    <row r="5" spans="1:10" ht="24" customHeight="1">
      <c r="A5" s="48" t="s">
        <v>10</v>
      </c>
      <c r="B5" s="49"/>
      <c r="C5" s="29">
        <v>69</v>
      </c>
      <c r="D5" s="29">
        <v>111</v>
      </c>
      <c r="E5" s="29">
        <v>132</v>
      </c>
      <c r="F5" s="29">
        <v>154</v>
      </c>
      <c r="G5" s="29">
        <v>200</v>
      </c>
      <c r="H5" s="11">
        <v>138</v>
      </c>
      <c r="I5" s="29">
        <v>861</v>
      </c>
      <c r="J5" s="17">
        <v>100</v>
      </c>
    </row>
    <row r="6" spans="1:10" ht="24" customHeight="1">
      <c r="A6" s="26"/>
      <c r="B6" s="2" t="s">
        <v>11</v>
      </c>
      <c r="C6" s="4">
        <v>66</v>
      </c>
      <c r="D6" s="4">
        <v>113</v>
      </c>
      <c r="E6" s="4">
        <v>140</v>
      </c>
      <c r="F6" s="4">
        <v>171</v>
      </c>
      <c r="G6" s="4">
        <v>220</v>
      </c>
      <c r="H6" s="12">
        <v>145</v>
      </c>
      <c r="I6" s="30">
        <v>325</v>
      </c>
      <c r="J6" s="19">
        <f>I6/$I$5*100</f>
        <v>37.746806039488966</v>
      </c>
    </row>
    <row r="7" spans="1:10" ht="24" customHeight="1">
      <c r="A7" s="27"/>
      <c r="B7" s="3" t="s">
        <v>12</v>
      </c>
      <c r="C7" s="7">
        <v>70</v>
      </c>
      <c r="D7" s="7">
        <v>110</v>
      </c>
      <c r="E7" s="7">
        <v>130</v>
      </c>
      <c r="F7" s="7">
        <v>150</v>
      </c>
      <c r="G7" s="7">
        <v>179</v>
      </c>
      <c r="H7" s="13">
        <v>134</v>
      </c>
      <c r="I7" s="31">
        <v>536</v>
      </c>
      <c r="J7" s="19">
        <f t="shared" ref="J7:J21" si="0">I7/$I$5*100</f>
        <v>62.253193960511034</v>
      </c>
    </row>
    <row r="8" spans="1:10" ht="24" customHeight="1">
      <c r="A8" s="35" t="s">
        <v>13</v>
      </c>
      <c r="B8" s="36"/>
      <c r="C8" s="6">
        <v>99</v>
      </c>
      <c r="D8" s="6">
        <v>129</v>
      </c>
      <c r="E8" s="6">
        <v>150</v>
      </c>
      <c r="F8" s="6">
        <v>202</v>
      </c>
      <c r="G8" s="6">
        <v>244</v>
      </c>
      <c r="H8" s="14">
        <v>167</v>
      </c>
      <c r="I8" s="31">
        <v>195</v>
      </c>
      <c r="J8" s="19">
        <f t="shared" si="0"/>
        <v>22.648083623693381</v>
      </c>
    </row>
    <row r="9" spans="1:10" ht="24" customHeight="1">
      <c r="A9" s="35" t="s">
        <v>14</v>
      </c>
      <c r="B9" s="36"/>
      <c r="C9" s="6">
        <v>68</v>
      </c>
      <c r="D9" s="6">
        <v>116</v>
      </c>
      <c r="E9" s="6">
        <v>131</v>
      </c>
      <c r="F9" s="6">
        <v>154</v>
      </c>
      <c r="G9" s="6">
        <v>164</v>
      </c>
      <c r="H9" s="14">
        <v>128</v>
      </c>
      <c r="I9" s="32">
        <v>31</v>
      </c>
      <c r="J9" s="19">
        <f t="shared" si="0"/>
        <v>3.6004645760743323</v>
      </c>
    </row>
    <row r="10" spans="1:10" ht="24" customHeight="1">
      <c r="A10" s="35" t="s">
        <v>15</v>
      </c>
      <c r="B10" s="36"/>
      <c r="C10" s="6">
        <v>110</v>
      </c>
      <c r="D10" s="6">
        <v>120</v>
      </c>
      <c r="E10" s="6">
        <v>130</v>
      </c>
      <c r="F10" s="6">
        <v>150</v>
      </c>
      <c r="G10" s="6">
        <v>177</v>
      </c>
      <c r="H10" s="14">
        <v>137</v>
      </c>
      <c r="I10" s="32">
        <v>68</v>
      </c>
      <c r="J10" s="19">
        <f t="shared" si="0"/>
        <v>7.8977932636469221</v>
      </c>
    </row>
    <row r="11" spans="1:10" ht="24" customHeight="1">
      <c r="A11" s="35" t="s">
        <v>16</v>
      </c>
      <c r="B11" s="36"/>
      <c r="C11" s="6">
        <v>83</v>
      </c>
      <c r="D11" s="6">
        <v>120</v>
      </c>
      <c r="E11" s="6">
        <v>130</v>
      </c>
      <c r="F11" s="6">
        <v>136</v>
      </c>
      <c r="G11" s="6">
        <v>150</v>
      </c>
      <c r="H11" s="14">
        <v>127</v>
      </c>
      <c r="I11" s="32">
        <v>50</v>
      </c>
      <c r="J11" s="19">
        <f t="shared" si="0"/>
        <v>5.8072009291521489</v>
      </c>
    </row>
    <row r="12" spans="1:10" ht="24" customHeight="1">
      <c r="A12" s="35" t="s">
        <v>17</v>
      </c>
      <c r="B12" s="36"/>
      <c r="C12" s="6">
        <v>119</v>
      </c>
      <c r="D12" s="6">
        <v>129</v>
      </c>
      <c r="E12" s="6">
        <v>139</v>
      </c>
      <c r="F12" s="6">
        <v>153</v>
      </c>
      <c r="G12" s="6">
        <v>180</v>
      </c>
      <c r="H12" s="14">
        <v>142</v>
      </c>
      <c r="I12" s="32">
        <v>168</v>
      </c>
      <c r="J12" s="19">
        <f t="shared" si="0"/>
        <v>19.512195121951219</v>
      </c>
    </row>
    <row r="13" spans="1:10" ht="24" customHeight="1">
      <c r="A13" s="35" t="s">
        <v>18</v>
      </c>
      <c r="B13" s="36"/>
      <c r="C13" s="6">
        <v>125</v>
      </c>
      <c r="D13" s="6">
        <v>125</v>
      </c>
      <c r="E13" s="6">
        <v>140</v>
      </c>
      <c r="F13" s="6">
        <v>143</v>
      </c>
      <c r="G13" s="6" t="s">
        <v>33</v>
      </c>
      <c r="H13" s="14">
        <v>137</v>
      </c>
      <c r="I13" s="32">
        <v>6</v>
      </c>
      <c r="J13" s="19">
        <f t="shared" si="0"/>
        <v>0.69686411149825789</v>
      </c>
    </row>
    <row r="14" spans="1:10" ht="24" customHeight="1">
      <c r="A14" s="35" t="s">
        <v>19</v>
      </c>
      <c r="B14" s="36"/>
      <c r="C14" s="6">
        <v>66</v>
      </c>
      <c r="D14" s="6">
        <v>77</v>
      </c>
      <c r="E14" s="6">
        <v>150</v>
      </c>
      <c r="F14" s="6">
        <v>176</v>
      </c>
      <c r="G14" s="6">
        <v>319</v>
      </c>
      <c r="H14" s="14">
        <v>154</v>
      </c>
      <c r="I14" s="32">
        <v>87</v>
      </c>
      <c r="J14" s="19">
        <f t="shared" si="0"/>
        <v>10.104529616724738</v>
      </c>
    </row>
    <row r="15" spans="1:10" ht="24" customHeight="1">
      <c r="A15" s="35" t="s">
        <v>20</v>
      </c>
      <c r="B15" s="36"/>
      <c r="C15" s="6">
        <v>68</v>
      </c>
      <c r="D15" s="6">
        <v>120</v>
      </c>
      <c r="E15" s="6">
        <v>130</v>
      </c>
      <c r="F15" s="6">
        <v>143</v>
      </c>
      <c r="G15" s="6">
        <v>172</v>
      </c>
      <c r="H15" s="14">
        <v>127</v>
      </c>
      <c r="I15" s="32">
        <v>22</v>
      </c>
      <c r="J15" s="19">
        <f t="shared" si="0"/>
        <v>2.5551684088269457</v>
      </c>
    </row>
    <row r="16" spans="1:10" ht="24" customHeight="1">
      <c r="A16" s="35" t="s">
        <v>21</v>
      </c>
      <c r="B16" s="36"/>
      <c r="C16" s="6">
        <v>44</v>
      </c>
      <c r="D16" s="6">
        <v>55</v>
      </c>
      <c r="E16" s="6">
        <v>75</v>
      </c>
      <c r="F16" s="6">
        <v>120</v>
      </c>
      <c r="G16" s="6">
        <v>143</v>
      </c>
      <c r="H16" s="14">
        <v>88</v>
      </c>
      <c r="I16" s="32">
        <v>49</v>
      </c>
      <c r="J16" s="19">
        <f t="shared" si="0"/>
        <v>5.6910569105691051</v>
      </c>
    </row>
    <row r="17" spans="1:10" ht="24" customHeight="1">
      <c r="A17" s="35" t="s">
        <v>22</v>
      </c>
      <c r="B17" s="36"/>
      <c r="C17" s="6">
        <v>60</v>
      </c>
      <c r="D17" s="6">
        <v>70</v>
      </c>
      <c r="E17" s="6">
        <v>100</v>
      </c>
      <c r="F17" s="6">
        <v>125</v>
      </c>
      <c r="G17" s="6">
        <v>150</v>
      </c>
      <c r="H17" s="14">
        <v>107</v>
      </c>
      <c r="I17" s="32">
        <v>85</v>
      </c>
      <c r="J17" s="19">
        <f t="shared" si="0"/>
        <v>9.8722415795586524</v>
      </c>
    </row>
    <row r="18" spans="1:10" ht="24" customHeight="1">
      <c r="A18" s="35" t="s">
        <v>23</v>
      </c>
      <c r="B18" s="36"/>
      <c r="C18" s="6">
        <v>66</v>
      </c>
      <c r="D18" s="6">
        <v>70</v>
      </c>
      <c r="E18" s="6">
        <v>110</v>
      </c>
      <c r="F18" s="6">
        <v>150</v>
      </c>
      <c r="G18" s="6">
        <v>183</v>
      </c>
      <c r="H18" s="14">
        <v>115</v>
      </c>
      <c r="I18" s="32">
        <v>56</v>
      </c>
      <c r="J18" s="19">
        <f t="shared" si="0"/>
        <v>6.5040650406504072</v>
      </c>
    </row>
    <row r="19" spans="1:10" ht="24" customHeight="1">
      <c r="A19" s="35" t="s">
        <v>24</v>
      </c>
      <c r="B19" s="36"/>
      <c r="C19" s="6">
        <v>110</v>
      </c>
      <c r="D19" s="6">
        <v>120</v>
      </c>
      <c r="E19" s="6">
        <v>130</v>
      </c>
      <c r="F19" s="6">
        <v>140</v>
      </c>
      <c r="G19" s="6">
        <v>143</v>
      </c>
      <c r="H19" s="14">
        <v>130</v>
      </c>
      <c r="I19" s="32">
        <v>23</v>
      </c>
      <c r="J19" s="19">
        <f t="shared" si="0"/>
        <v>2.6713124274099882</v>
      </c>
    </row>
    <row r="20" spans="1:10" ht="24" customHeight="1">
      <c r="A20" s="35" t="s">
        <v>25</v>
      </c>
      <c r="B20" s="36"/>
      <c r="C20" s="6">
        <v>85</v>
      </c>
      <c r="D20" s="6">
        <v>135</v>
      </c>
      <c r="E20" s="6">
        <v>152</v>
      </c>
      <c r="F20" s="6">
        <v>164</v>
      </c>
      <c r="G20" s="6">
        <v>184</v>
      </c>
      <c r="H20" s="14">
        <v>147</v>
      </c>
      <c r="I20" s="32">
        <v>18</v>
      </c>
      <c r="J20" s="19">
        <f t="shared" si="0"/>
        <v>2.0905923344947737</v>
      </c>
    </row>
    <row r="21" spans="1:10" ht="24" customHeight="1" thickBot="1">
      <c r="A21" s="37" t="s">
        <v>29</v>
      </c>
      <c r="B21" s="38"/>
      <c r="C21" s="23">
        <v>105</v>
      </c>
      <c r="D21" s="23">
        <v>105</v>
      </c>
      <c r="E21" s="23">
        <v>112</v>
      </c>
      <c r="F21" s="23" t="s">
        <v>33</v>
      </c>
      <c r="G21" s="23" t="s">
        <v>33</v>
      </c>
      <c r="H21" s="24">
        <v>112</v>
      </c>
      <c r="I21" s="33">
        <v>3</v>
      </c>
      <c r="J21" s="28">
        <f t="shared" si="0"/>
        <v>0.34843205574912894</v>
      </c>
    </row>
    <row r="22" spans="1:10">
      <c r="A22" s="52" t="s">
        <v>36</v>
      </c>
      <c r="B22" s="52"/>
      <c r="C22" s="52"/>
      <c r="D22" s="52"/>
      <c r="E22" s="52"/>
      <c r="F22" s="52"/>
      <c r="G22" s="52"/>
      <c r="H22" s="52"/>
      <c r="I22" s="52"/>
      <c r="J22" s="52"/>
    </row>
    <row r="23" spans="1:10">
      <c r="A23" s="52" t="s">
        <v>40</v>
      </c>
      <c r="B23" s="52"/>
      <c r="C23" s="52"/>
      <c r="D23" s="52"/>
      <c r="E23" s="52"/>
      <c r="F23" s="52"/>
      <c r="G23" s="52"/>
      <c r="H23" s="52"/>
      <c r="I23" s="52"/>
      <c r="J23" s="52"/>
    </row>
    <row r="24" spans="1:10">
      <c r="A24" s="8"/>
    </row>
  </sheetData>
  <mergeCells count="23">
    <mergeCell ref="A2:J2"/>
    <mergeCell ref="A1:J1"/>
    <mergeCell ref="A13:B13"/>
    <mergeCell ref="A14:B14"/>
    <mergeCell ref="A3:B4"/>
    <mergeCell ref="C3:G3"/>
    <mergeCell ref="H3:H4"/>
    <mergeCell ref="A5:B5"/>
    <mergeCell ref="A8:B8"/>
    <mergeCell ref="A21:B21"/>
    <mergeCell ref="A22:J22"/>
    <mergeCell ref="A23:J23"/>
    <mergeCell ref="I3:J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="115" zoomScaleNormal="115" workbookViewId="0">
      <selection activeCell="I4" sqref="I4"/>
    </sheetView>
  </sheetViews>
  <sheetFormatPr defaultRowHeight="16.5"/>
  <cols>
    <col min="3" max="10" width="11.125" customWidth="1"/>
  </cols>
  <sheetData>
    <row r="1" spans="1:10" ht="24.75" customHeight="1">
      <c r="A1" s="39" t="s">
        <v>30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4.75" customHeight="1" thickBot="1">
      <c r="A2" s="40" t="s">
        <v>35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21" customHeight="1">
      <c r="A3" s="41" t="s">
        <v>1</v>
      </c>
      <c r="B3" s="42"/>
      <c r="C3" s="45" t="s">
        <v>2</v>
      </c>
      <c r="D3" s="46"/>
      <c r="E3" s="46"/>
      <c r="F3" s="46"/>
      <c r="G3" s="47"/>
      <c r="H3" s="42" t="s">
        <v>3</v>
      </c>
      <c r="I3" s="50" t="s">
        <v>39</v>
      </c>
      <c r="J3" s="51"/>
    </row>
    <row r="4" spans="1:10" ht="21" customHeight="1">
      <c r="A4" s="43"/>
      <c r="B4" s="44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4"/>
      <c r="I4" s="1" t="s">
        <v>26</v>
      </c>
      <c r="J4" s="16" t="s">
        <v>27</v>
      </c>
    </row>
    <row r="5" spans="1:10" ht="21" customHeight="1">
      <c r="A5" s="48" t="s">
        <v>10</v>
      </c>
      <c r="B5" s="49"/>
      <c r="C5" s="9">
        <v>101</v>
      </c>
      <c r="D5" s="9">
        <v>128</v>
      </c>
      <c r="E5" s="9">
        <v>155</v>
      </c>
      <c r="F5" s="9">
        <v>203</v>
      </c>
      <c r="G5" s="9">
        <v>233</v>
      </c>
      <c r="H5" s="11">
        <v>196</v>
      </c>
      <c r="I5" s="9">
        <v>442</v>
      </c>
      <c r="J5" s="17">
        <v>100</v>
      </c>
    </row>
    <row r="6" spans="1:10" ht="21" customHeight="1">
      <c r="A6" s="26"/>
      <c r="B6" s="2" t="s">
        <v>11</v>
      </c>
      <c r="C6" s="4">
        <v>88</v>
      </c>
      <c r="D6" s="4">
        <v>132</v>
      </c>
      <c r="E6" s="4">
        <v>165</v>
      </c>
      <c r="F6" s="4">
        <v>220</v>
      </c>
      <c r="G6" s="4">
        <v>291</v>
      </c>
      <c r="H6" s="12">
        <v>236</v>
      </c>
      <c r="I6" s="4">
        <v>211</v>
      </c>
      <c r="J6" s="19">
        <f>I6/$I$5*100</f>
        <v>47.737556561085974</v>
      </c>
    </row>
    <row r="7" spans="1:10" ht="21" customHeight="1">
      <c r="A7" s="27"/>
      <c r="B7" s="3" t="s">
        <v>12</v>
      </c>
      <c r="C7" s="7">
        <v>110</v>
      </c>
      <c r="D7" s="7">
        <v>128</v>
      </c>
      <c r="E7" s="7">
        <v>150</v>
      </c>
      <c r="F7" s="7">
        <v>187</v>
      </c>
      <c r="G7" s="7">
        <v>220</v>
      </c>
      <c r="H7" s="13">
        <v>159</v>
      </c>
      <c r="I7" s="7">
        <v>231</v>
      </c>
      <c r="J7" s="21">
        <f t="shared" ref="J7:J21" si="0">I7/$I$5*100</f>
        <v>52.262443438914033</v>
      </c>
    </row>
    <row r="8" spans="1:10" ht="21" customHeight="1">
      <c r="A8" s="35" t="s">
        <v>13</v>
      </c>
      <c r="B8" s="36"/>
      <c r="C8" s="6">
        <v>116</v>
      </c>
      <c r="D8" s="6">
        <v>145</v>
      </c>
      <c r="E8" s="6">
        <v>202</v>
      </c>
      <c r="F8" s="6">
        <v>228</v>
      </c>
      <c r="G8" s="6">
        <v>960</v>
      </c>
      <c r="H8" s="14">
        <v>279</v>
      </c>
      <c r="I8" s="6">
        <v>151</v>
      </c>
      <c r="J8" s="22">
        <f t="shared" si="0"/>
        <v>34.162895927601809</v>
      </c>
    </row>
    <row r="9" spans="1:10" ht="21" customHeight="1">
      <c r="A9" s="35" t="s">
        <v>14</v>
      </c>
      <c r="B9" s="36"/>
      <c r="C9" s="6">
        <v>50</v>
      </c>
      <c r="D9" s="6">
        <v>78</v>
      </c>
      <c r="E9" s="6">
        <v>111</v>
      </c>
      <c r="F9" s="6">
        <v>148</v>
      </c>
      <c r="G9" s="6">
        <v>185</v>
      </c>
      <c r="H9" s="14">
        <v>114</v>
      </c>
      <c r="I9" s="6">
        <v>26</v>
      </c>
      <c r="J9" s="22">
        <f t="shared" si="0"/>
        <v>5.8823529411764701</v>
      </c>
    </row>
    <row r="10" spans="1:10" ht="21" customHeight="1">
      <c r="A10" s="35" t="s">
        <v>15</v>
      </c>
      <c r="B10" s="36"/>
      <c r="C10" s="6">
        <v>150</v>
      </c>
      <c r="D10" s="6">
        <v>161</v>
      </c>
      <c r="E10" s="6">
        <v>176</v>
      </c>
      <c r="F10" s="6">
        <v>187</v>
      </c>
      <c r="G10" s="6">
        <v>204</v>
      </c>
      <c r="H10" s="14">
        <v>188</v>
      </c>
      <c r="I10" s="6">
        <v>32</v>
      </c>
      <c r="J10" s="22">
        <f t="shared" si="0"/>
        <v>7.2398190045248878</v>
      </c>
    </row>
    <row r="11" spans="1:10" ht="21" customHeight="1">
      <c r="A11" s="35" t="s">
        <v>16</v>
      </c>
      <c r="B11" s="36"/>
      <c r="C11" s="6">
        <v>61</v>
      </c>
      <c r="D11" s="6">
        <v>95</v>
      </c>
      <c r="E11" s="6">
        <v>145</v>
      </c>
      <c r="F11" s="6">
        <v>178</v>
      </c>
      <c r="G11" s="6">
        <v>198</v>
      </c>
      <c r="H11" s="14">
        <v>134</v>
      </c>
      <c r="I11" s="6">
        <v>21</v>
      </c>
      <c r="J11" s="22">
        <f t="shared" si="0"/>
        <v>4.751131221719457</v>
      </c>
    </row>
    <row r="12" spans="1:10" ht="21" customHeight="1">
      <c r="A12" s="35" t="s">
        <v>17</v>
      </c>
      <c r="B12" s="36"/>
      <c r="C12" s="6">
        <v>114</v>
      </c>
      <c r="D12" s="6">
        <v>129</v>
      </c>
      <c r="E12" s="6">
        <v>150</v>
      </c>
      <c r="F12" s="6">
        <v>203</v>
      </c>
      <c r="G12" s="6">
        <v>231</v>
      </c>
      <c r="H12" s="14">
        <v>168</v>
      </c>
      <c r="I12" s="6">
        <v>92</v>
      </c>
      <c r="J12" s="22">
        <f t="shared" si="0"/>
        <v>20.81447963800905</v>
      </c>
    </row>
    <row r="13" spans="1:10" ht="21" customHeight="1">
      <c r="A13" s="35" t="s">
        <v>18</v>
      </c>
      <c r="B13" s="36"/>
      <c r="C13" s="6">
        <v>150</v>
      </c>
      <c r="D13" s="6">
        <v>183</v>
      </c>
      <c r="E13" s="6">
        <v>220</v>
      </c>
      <c r="F13" s="6">
        <v>226</v>
      </c>
      <c r="G13" s="6" t="s">
        <v>33</v>
      </c>
      <c r="H13" s="14">
        <v>206</v>
      </c>
      <c r="I13" s="6">
        <v>6</v>
      </c>
      <c r="J13" s="22">
        <f t="shared" si="0"/>
        <v>1.3574660633484164</v>
      </c>
    </row>
    <row r="14" spans="1:10" ht="21" customHeight="1">
      <c r="A14" s="35" t="s">
        <v>19</v>
      </c>
      <c r="B14" s="36"/>
      <c r="C14" s="6">
        <v>44</v>
      </c>
      <c r="D14" s="6">
        <v>55</v>
      </c>
      <c r="E14" s="6">
        <v>148</v>
      </c>
      <c r="F14" s="6">
        <v>190</v>
      </c>
      <c r="G14" s="6">
        <v>199</v>
      </c>
      <c r="H14" s="14">
        <v>138</v>
      </c>
      <c r="I14" s="6">
        <v>19</v>
      </c>
      <c r="J14" s="22">
        <f t="shared" si="0"/>
        <v>4.2986425339366514</v>
      </c>
    </row>
    <row r="15" spans="1:10" ht="21" customHeight="1">
      <c r="A15" s="35" t="s">
        <v>20</v>
      </c>
      <c r="B15" s="36"/>
      <c r="C15" s="6">
        <v>123</v>
      </c>
      <c r="D15" s="6">
        <v>125</v>
      </c>
      <c r="E15" s="6">
        <v>137</v>
      </c>
      <c r="F15" s="6">
        <v>167</v>
      </c>
      <c r="G15" s="6" t="s">
        <v>33</v>
      </c>
      <c r="H15" s="14">
        <v>150</v>
      </c>
      <c r="I15" s="6">
        <v>7</v>
      </c>
      <c r="J15" s="22">
        <f t="shared" si="0"/>
        <v>1.5837104072398189</v>
      </c>
    </row>
    <row r="16" spans="1:10" ht="21" customHeight="1">
      <c r="A16" s="35" t="s">
        <v>21</v>
      </c>
      <c r="B16" s="36"/>
      <c r="C16" s="6">
        <v>70</v>
      </c>
      <c r="D16" s="6">
        <v>132</v>
      </c>
      <c r="E16" s="6">
        <v>157</v>
      </c>
      <c r="F16" s="6">
        <v>176</v>
      </c>
      <c r="G16" s="6">
        <v>196</v>
      </c>
      <c r="H16" s="14">
        <v>149</v>
      </c>
      <c r="I16" s="6">
        <v>13</v>
      </c>
      <c r="J16" s="22">
        <f t="shared" si="0"/>
        <v>2.9411764705882351</v>
      </c>
    </row>
    <row r="17" spans="1:10" ht="21" customHeight="1">
      <c r="A17" s="35" t="s">
        <v>22</v>
      </c>
      <c r="B17" s="36"/>
      <c r="C17" s="6">
        <v>101</v>
      </c>
      <c r="D17" s="6">
        <v>122</v>
      </c>
      <c r="E17" s="6">
        <v>141</v>
      </c>
      <c r="F17" s="6">
        <v>165</v>
      </c>
      <c r="G17" s="6">
        <v>207</v>
      </c>
      <c r="H17" s="14">
        <v>147</v>
      </c>
      <c r="I17" s="6">
        <v>40</v>
      </c>
      <c r="J17" s="22">
        <f t="shared" si="0"/>
        <v>9.0497737556561084</v>
      </c>
    </row>
    <row r="18" spans="1:10" ht="21" customHeight="1">
      <c r="A18" s="35" t="s">
        <v>23</v>
      </c>
      <c r="B18" s="36"/>
      <c r="C18" s="6">
        <v>77</v>
      </c>
      <c r="D18" s="6">
        <v>106</v>
      </c>
      <c r="E18" s="6">
        <v>120</v>
      </c>
      <c r="F18" s="6">
        <v>147</v>
      </c>
      <c r="G18" s="6">
        <v>161</v>
      </c>
      <c r="H18" s="14">
        <v>122</v>
      </c>
      <c r="I18" s="6">
        <v>19</v>
      </c>
      <c r="J18" s="22">
        <f t="shared" si="0"/>
        <v>4.2986425339366514</v>
      </c>
    </row>
    <row r="19" spans="1:10" ht="21" customHeight="1">
      <c r="A19" s="35" t="s">
        <v>24</v>
      </c>
      <c r="B19" s="36"/>
      <c r="C19" s="6">
        <v>72</v>
      </c>
      <c r="D19" s="6">
        <v>101</v>
      </c>
      <c r="E19" s="6">
        <v>132</v>
      </c>
      <c r="F19" s="6">
        <v>168</v>
      </c>
      <c r="G19" s="6" t="s">
        <v>33</v>
      </c>
      <c r="H19" s="14">
        <v>130</v>
      </c>
      <c r="I19" s="6">
        <v>6</v>
      </c>
      <c r="J19" s="22">
        <f t="shared" si="0"/>
        <v>1.3574660633484164</v>
      </c>
    </row>
    <row r="20" spans="1:10" ht="21" customHeight="1">
      <c r="A20" s="35" t="s">
        <v>25</v>
      </c>
      <c r="B20" s="36"/>
      <c r="C20" s="6">
        <v>100</v>
      </c>
      <c r="D20" s="6">
        <v>104</v>
      </c>
      <c r="E20" s="6">
        <v>137</v>
      </c>
      <c r="F20" s="6">
        <v>190</v>
      </c>
      <c r="G20" s="6" t="s">
        <v>33</v>
      </c>
      <c r="H20" s="14">
        <v>149</v>
      </c>
      <c r="I20" s="6">
        <v>7</v>
      </c>
      <c r="J20" s="22">
        <f t="shared" si="0"/>
        <v>1.5837104072398189</v>
      </c>
    </row>
    <row r="21" spans="1:10" ht="21" customHeight="1" thickBot="1">
      <c r="A21" s="37" t="s">
        <v>29</v>
      </c>
      <c r="B21" s="38"/>
      <c r="C21" s="23">
        <v>128</v>
      </c>
      <c r="D21" s="23">
        <v>128</v>
      </c>
      <c r="E21" s="23">
        <v>140</v>
      </c>
      <c r="F21" s="23" t="s">
        <v>33</v>
      </c>
      <c r="G21" s="23" t="s">
        <v>33</v>
      </c>
      <c r="H21" s="24">
        <v>140</v>
      </c>
      <c r="I21" s="23">
        <v>3</v>
      </c>
      <c r="J21" s="25">
        <f t="shared" si="0"/>
        <v>0.67873303167420818</v>
      </c>
    </row>
    <row r="22" spans="1:10">
      <c r="A22" s="52" t="s">
        <v>38</v>
      </c>
      <c r="B22" s="52"/>
      <c r="C22" s="52"/>
      <c r="D22" s="52"/>
      <c r="E22" s="52"/>
      <c r="F22" s="52"/>
      <c r="G22" s="52"/>
      <c r="H22" s="52"/>
      <c r="I22" s="52"/>
      <c r="J22" s="52"/>
    </row>
    <row r="23" spans="1:10" ht="21" customHeight="1">
      <c r="A23" s="52" t="s">
        <v>37</v>
      </c>
      <c r="B23" s="52"/>
      <c r="C23" s="52"/>
      <c r="D23" s="52"/>
      <c r="E23" s="52"/>
      <c r="F23" s="52"/>
      <c r="G23" s="52"/>
      <c r="H23" s="52"/>
      <c r="I23" s="52"/>
      <c r="J23" s="52"/>
    </row>
    <row r="24" spans="1:10">
      <c r="A24" s="8"/>
    </row>
  </sheetData>
  <mergeCells count="23">
    <mergeCell ref="A2:J2"/>
    <mergeCell ref="A1:J1"/>
    <mergeCell ref="A15:B15"/>
    <mergeCell ref="A16:B16"/>
    <mergeCell ref="A3:B4"/>
    <mergeCell ref="C3:G3"/>
    <mergeCell ref="H3:H4"/>
    <mergeCell ref="A5:B5"/>
    <mergeCell ref="A8:B8"/>
    <mergeCell ref="A21:B21"/>
    <mergeCell ref="A22:J22"/>
    <mergeCell ref="A23:J23"/>
    <mergeCell ref="I3:J3"/>
    <mergeCell ref="A19:B19"/>
    <mergeCell ref="A20:B20"/>
    <mergeCell ref="A17:B17"/>
    <mergeCell ref="A18:B18"/>
    <mergeCell ref="A9:B9"/>
    <mergeCell ref="A10:B10"/>
    <mergeCell ref="A11:B11"/>
    <mergeCell ref="A12:B12"/>
    <mergeCell ref="A13:B13"/>
    <mergeCell ref="A14:B1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="115" zoomScaleNormal="115" workbookViewId="0">
      <selection activeCell="I4" sqref="I4"/>
    </sheetView>
  </sheetViews>
  <sheetFormatPr defaultRowHeight="16.5"/>
  <cols>
    <col min="3" max="10" width="11.625" customWidth="1"/>
  </cols>
  <sheetData>
    <row r="1" spans="1:10" ht="20.25">
      <c r="A1" s="39" t="s">
        <v>31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3.25" customHeight="1" thickBot="1">
      <c r="A2" s="40" t="s">
        <v>35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21" customHeight="1">
      <c r="A3" s="41" t="s">
        <v>32</v>
      </c>
      <c r="B3" s="42"/>
      <c r="C3" s="45" t="s">
        <v>2</v>
      </c>
      <c r="D3" s="46"/>
      <c r="E3" s="46"/>
      <c r="F3" s="46"/>
      <c r="G3" s="47"/>
      <c r="H3" s="42" t="s">
        <v>3</v>
      </c>
      <c r="I3" s="50" t="s">
        <v>39</v>
      </c>
      <c r="J3" s="51"/>
    </row>
    <row r="4" spans="1:10" ht="21" customHeight="1">
      <c r="A4" s="43"/>
      <c r="B4" s="44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4"/>
      <c r="I4" s="1" t="s">
        <v>26</v>
      </c>
      <c r="J4" s="16" t="s">
        <v>27</v>
      </c>
    </row>
    <row r="5" spans="1:10" ht="21" customHeight="1">
      <c r="A5" s="48" t="s">
        <v>10</v>
      </c>
      <c r="B5" s="49"/>
      <c r="C5" s="9">
        <v>37</v>
      </c>
      <c r="D5" s="9">
        <v>47</v>
      </c>
      <c r="E5" s="9">
        <v>77</v>
      </c>
      <c r="F5" s="9">
        <v>100</v>
      </c>
      <c r="G5" s="9">
        <v>132</v>
      </c>
      <c r="H5" s="11">
        <v>80</v>
      </c>
      <c r="I5" s="9">
        <v>504</v>
      </c>
      <c r="J5" s="17">
        <v>100</v>
      </c>
    </row>
    <row r="6" spans="1:10" ht="21" customHeight="1">
      <c r="A6" s="26"/>
      <c r="B6" s="2" t="s">
        <v>11</v>
      </c>
      <c r="C6" s="4">
        <v>64</v>
      </c>
      <c r="D6" s="4">
        <v>76</v>
      </c>
      <c r="E6" s="4">
        <v>92</v>
      </c>
      <c r="F6" s="4">
        <v>110</v>
      </c>
      <c r="G6" s="4">
        <v>132</v>
      </c>
      <c r="H6" s="12">
        <v>96</v>
      </c>
      <c r="I6" s="4">
        <v>228</v>
      </c>
      <c r="J6" s="19">
        <f>I6/$I$5*100</f>
        <v>45.238095238095241</v>
      </c>
    </row>
    <row r="7" spans="1:10" ht="21" customHeight="1">
      <c r="A7" s="27"/>
      <c r="B7" s="3" t="s">
        <v>12</v>
      </c>
      <c r="C7" s="7">
        <v>30</v>
      </c>
      <c r="D7" s="7">
        <v>39</v>
      </c>
      <c r="E7" s="7">
        <v>58</v>
      </c>
      <c r="F7" s="7">
        <v>82</v>
      </c>
      <c r="G7" s="7">
        <v>154</v>
      </c>
      <c r="H7" s="13">
        <v>67</v>
      </c>
      <c r="I7" s="7">
        <v>276</v>
      </c>
      <c r="J7" s="21">
        <f t="shared" ref="J7:J21" si="0">I7/$I$5*100</f>
        <v>54.761904761904766</v>
      </c>
    </row>
    <row r="8" spans="1:10" ht="21" customHeight="1">
      <c r="A8" s="35" t="s">
        <v>13</v>
      </c>
      <c r="B8" s="36"/>
      <c r="C8" s="6">
        <v>70</v>
      </c>
      <c r="D8" s="6">
        <v>82</v>
      </c>
      <c r="E8" s="6">
        <v>96</v>
      </c>
      <c r="F8" s="6">
        <v>113</v>
      </c>
      <c r="G8" s="6">
        <v>136</v>
      </c>
      <c r="H8" s="14">
        <v>103</v>
      </c>
      <c r="I8" s="6">
        <v>177</v>
      </c>
      <c r="J8" s="22">
        <f t="shared" si="0"/>
        <v>35.119047619047613</v>
      </c>
    </row>
    <row r="9" spans="1:10" ht="21" customHeight="1">
      <c r="A9" s="35" t="s">
        <v>14</v>
      </c>
      <c r="B9" s="36"/>
      <c r="C9" s="6">
        <v>39</v>
      </c>
      <c r="D9" s="6">
        <v>62</v>
      </c>
      <c r="E9" s="6">
        <v>73</v>
      </c>
      <c r="F9" s="6">
        <v>94</v>
      </c>
      <c r="G9" s="6">
        <v>123</v>
      </c>
      <c r="H9" s="14">
        <v>76</v>
      </c>
      <c r="I9" s="6">
        <v>21</v>
      </c>
      <c r="J9" s="22">
        <f t="shared" si="0"/>
        <v>4.1666666666666661</v>
      </c>
    </row>
    <row r="10" spans="1:10" ht="21" customHeight="1">
      <c r="A10" s="35" t="s">
        <v>15</v>
      </c>
      <c r="B10" s="36"/>
      <c r="C10" s="6">
        <v>61</v>
      </c>
      <c r="D10" s="6">
        <v>68</v>
      </c>
      <c r="E10" s="6">
        <v>77</v>
      </c>
      <c r="F10" s="6">
        <v>85</v>
      </c>
      <c r="G10" s="6">
        <v>136</v>
      </c>
      <c r="H10" s="14">
        <v>84</v>
      </c>
      <c r="I10" s="6">
        <v>40</v>
      </c>
      <c r="J10" s="22">
        <f t="shared" si="0"/>
        <v>7.9365079365079358</v>
      </c>
    </row>
    <row r="11" spans="1:10" ht="21" customHeight="1">
      <c r="A11" s="35" t="s">
        <v>16</v>
      </c>
      <c r="B11" s="36"/>
      <c r="C11" s="6">
        <v>55</v>
      </c>
      <c r="D11" s="6">
        <v>60</v>
      </c>
      <c r="E11" s="6">
        <v>72</v>
      </c>
      <c r="F11" s="6">
        <v>73</v>
      </c>
      <c r="G11" s="6">
        <v>77</v>
      </c>
      <c r="H11" s="14">
        <v>68</v>
      </c>
      <c r="I11" s="6">
        <v>19</v>
      </c>
      <c r="J11" s="22">
        <f t="shared" si="0"/>
        <v>3.7698412698412698</v>
      </c>
    </row>
    <row r="12" spans="1:10" ht="21" customHeight="1">
      <c r="A12" s="35" t="s">
        <v>17</v>
      </c>
      <c r="B12" s="36"/>
      <c r="C12" s="6">
        <v>29</v>
      </c>
      <c r="D12" s="6">
        <v>39</v>
      </c>
      <c r="E12" s="6">
        <v>44</v>
      </c>
      <c r="F12" s="6">
        <v>70</v>
      </c>
      <c r="G12" s="6">
        <v>154</v>
      </c>
      <c r="H12" s="14">
        <v>64</v>
      </c>
      <c r="I12" s="6">
        <v>101</v>
      </c>
      <c r="J12" s="22">
        <f t="shared" si="0"/>
        <v>20.039682539682541</v>
      </c>
    </row>
    <row r="13" spans="1:10" ht="21" customHeight="1">
      <c r="A13" s="35" t="s">
        <v>18</v>
      </c>
      <c r="B13" s="36"/>
      <c r="C13" s="6">
        <v>29</v>
      </c>
      <c r="D13" s="6">
        <v>40</v>
      </c>
      <c r="E13" s="6">
        <v>45</v>
      </c>
      <c r="F13" s="6">
        <v>61</v>
      </c>
      <c r="G13" s="6" t="s">
        <v>33</v>
      </c>
      <c r="H13" s="14">
        <v>49</v>
      </c>
      <c r="I13" s="6">
        <v>8</v>
      </c>
      <c r="J13" s="22">
        <f t="shared" si="0"/>
        <v>1.5873015873015872</v>
      </c>
    </row>
    <row r="14" spans="1:10" ht="21" customHeight="1">
      <c r="A14" s="35" t="s">
        <v>19</v>
      </c>
      <c r="B14" s="36"/>
      <c r="C14" s="6">
        <v>20</v>
      </c>
      <c r="D14" s="6">
        <v>29</v>
      </c>
      <c r="E14" s="6">
        <v>33</v>
      </c>
      <c r="F14" s="6">
        <v>38</v>
      </c>
      <c r="G14" s="6">
        <v>90</v>
      </c>
      <c r="H14" s="14">
        <v>42</v>
      </c>
      <c r="I14" s="6">
        <v>37</v>
      </c>
      <c r="J14" s="22">
        <f t="shared" si="0"/>
        <v>7.3412698412698418</v>
      </c>
    </row>
    <row r="15" spans="1:10" ht="21" customHeight="1">
      <c r="A15" s="35" t="s">
        <v>20</v>
      </c>
      <c r="B15" s="36"/>
      <c r="C15" s="6">
        <v>61</v>
      </c>
      <c r="D15" s="6">
        <v>63</v>
      </c>
      <c r="E15" s="6">
        <v>74</v>
      </c>
      <c r="F15" s="6">
        <v>86</v>
      </c>
      <c r="G15" s="6" t="s">
        <v>33</v>
      </c>
      <c r="H15" s="14">
        <v>74</v>
      </c>
      <c r="I15" s="6">
        <v>4</v>
      </c>
      <c r="J15" s="22">
        <f t="shared" si="0"/>
        <v>0.79365079365079361</v>
      </c>
    </row>
    <row r="16" spans="1:10" ht="21" customHeight="1">
      <c r="A16" s="35" t="s">
        <v>21</v>
      </c>
      <c r="B16" s="36"/>
      <c r="C16" s="6">
        <v>39</v>
      </c>
      <c r="D16" s="6">
        <v>60</v>
      </c>
      <c r="E16" s="6">
        <v>82</v>
      </c>
      <c r="F16" s="6">
        <v>90</v>
      </c>
      <c r="G16" s="6">
        <v>98</v>
      </c>
      <c r="H16" s="14">
        <v>76</v>
      </c>
      <c r="I16" s="6">
        <v>11</v>
      </c>
      <c r="J16" s="22">
        <f t="shared" si="0"/>
        <v>2.1825396825396823</v>
      </c>
    </row>
    <row r="17" spans="1:10" ht="21" customHeight="1">
      <c r="A17" s="35" t="s">
        <v>22</v>
      </c>
      <c r="B17" s="36"/>
      <c r="C17" s="6">
        <v>42</v>
      </c>
      <c r="D17" s="6">
        <v>52</v>
      </c>
      <c r="E17" s="6">
        <v>78</v>
      </c>
      <c r="F17" s="6">
        <v>97</v>
      </c>
      <c r="G17" s="6">
        <v>110</v>
      </c>
      <c r="H17" s="14">
        <v>79</v>
      </c>
      <c r="I17" s="6">
        <v>48</v>
      </c>
      <c r="J17" s="22">
        <f t="shared" si="0"/>
        <v>9.5238095238095237</v>
      </c>
    </row>
    <row r="18" spans="1:10" ht="21" customHeight="1">
      <c r="A18" s="35" t="s">
        <v>23</v>
      </c>
      <c r="B18" s="36"/>
      <c r="C18" s="6">
        <v>19</v>
      </c>
      <c r="D18" s="6">
        <v>37</v>
      </c>
      <c r="E18" s="6">
        <v>58</v>
      </c>
      <c r="F18" s="6">
        <v>66</v>
      </c>
      <c r="G18" s="6">
        <v>154</v>
      </c>
      <c r="H18" s="14">
        <v>72</v>
      </c>
      <c r="I18" s="6">
        <v>23</v>
      </c>
      <c r="J18" s="22">
        <f t="shared" si="0"/>
        <v>4.5634920634920633</v>
      </c>
    </row>
    <row r="19" spans="1:10" ht="21" customHeight="1">
      <c r="A19" s="35" t="s">
        <v>24</v>
      </c>
      <c r="B19" s="36"/>
      <c r="C19" s="6">
        <v>37</v>
      </c>
      <c r="D19" s="6">
        <v>38</v>
      </c>
      <c r="E19" s="6">
        <v>77</v>
      </c>
      <c r="F19" s="6">
        <v>82</v>
      </c>
      <c r="G19" s="6" t="s">
        <v>33</v>
      </c>
      <c r="H19" s="14">
        <v>63</v>
      </c>
      <c r="I19" s="6">
        <v>5</v>
      </c>
      <c r="J19" s="22">
        <f t="shared" si="0"/>
        <v>0.99206349206349198</v>
      </c>
    </row>
    <row r="20" spans="1:10" ht="21" customHeight="1">
      <c r="A20" s="35" t="s">
        <v>25</v>
      </c>
      <c r="B20" s="36"/>
      <c r="C20" s="6">
        <v>37</v>
      </c>
      <c r="D20" s="6">
        <v>37</v>
      </c>
      <c r="E20" s="6">
        <v>37</v>
      </c>
      <c r="F20" s="6">
        <v>88</v>
      </c>
      <c r="G20" s="6" t="s">
        <v>33</v>
      </c>
      <c r="H20" s="14">
        <v>64</v>
      </c>
      <c r="I20" s="6">
        <v>7</v>
      </c>
      <c r="J20" s="22">
        <f t="shared" si="0"/>
        <v>1.3888888888888888</v>
      </c>
    </row>
    <row r="21" spans="1:10" ht="21" customHeight="1" thickBot="1">
      <c r="A21" s="37" t="s">
        <v>29</v>
      </c>
      <c r="B21" s="38"/>
      <c r="C21" s="23">
        <v>30</v>
      </c>
      <c r="D21" s="23">
        <v>30</v>
      </c>
      <c r="E21" s="23">
        <v>44</v>
      </c>
      <c r="F21" s="23" t="s">
        <v>33</v>
      </c>
      <c r="G21" s="23" t="s">
        <v>33</v>
      </c>
      <c r="H21" s="24">
        <v>51</v>
      </c>
      <c r="I21" s="23">
        <v>3</v>
      </c>
      <c r="J21" s="25">
        <f t="shared" si="0"/>
        <v>0.59523809523809523</v>
      </c>
    </row>
    <row r="22" spans="1:10">
      <c r="A22" s="53" t="s">
        <v>41</v>
      </c>
      <c r="B22" s="53"/>
      <c r="C22" s="53"/>
      <c r="D22" s="53"/>
      <c r="E22" s="53"/>
      <c r="F22" s="53"/>
      <c r="G22" s="53"/>
      <c r="H22" s="53"/>
      <c r="I22" s="53"/>
      <c r="J22" s="53"/>
    </row>
    <row r="23" spans="1:10">
      <c r="A23" s="52" t="s">
        <v>42</v>
      </c>
      <c r="B23" s="52"/>
      <c r="C23" s="52"/>
      <c r="D23" s="52"/>
      <c r="E23" s="52"/>
      <c r="F23" s="52"/>
      <c r="G23" s="52"/>
      <c r="H23" s="52"/>
      <c r="I23" s="52"/>
      <c r="J23" s="52"/>
    </row>
    <row r="24" spans="1:10">
      <c r="A24" s="8"/>
    </row>
  </sheetData>
  <mergeCells count="23">
    <mergeCell ref="A23:J23"/>
    <mergeCell ref="A15:B15"/>
    <mergeCell ref="A16:B16"/>
    <mergeCell ref="A17:B17"/>
    <mergeCell ref="A18:B18"/>
    <mergeCell ref="A19:B19"/>
    <mergeCell ref="A20:B20"/>
    <mergeCell ref="A21:B21"/>
    <mergeCell ref="A22:J22"/>
    <mergeCell ref="A1:J1"/>
    <mergeCell ref="A2:J2"/>
    <mergeCell ref="I3:J3"/>
    <mergeCell ref="A9:B9"/>
    <mergeCell ref="A10:B10"/>
    <mergeCell ref="H3:H4"/>
    <mergeCell ref="A5:B5"/>
    <mergeCell ref="A8:B8"/>
    <mergeCell ref="A14:B14"/>
    <mergeCell ref="A3:B4"/>
    <mergeCell ref="C3:G3"/>
    <mergeCell ref="A11:B11"/>
    <mergeCell ref="A12:B12"/>
    <mergeCell ref="A13:B1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스드메</vt:lpstr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2025-05-27T06:23:42Z</dcterms:created>
  <dcterms:modified xsi:type="dcterms:W3CDTF">2025-09-23T06:18:59Z</dcterms:modified>
</cp:coreProperties>
</file>